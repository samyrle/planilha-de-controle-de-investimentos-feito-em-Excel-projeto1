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rle\Desktop\"/>
    </mc:Choice>
  </mc:AlternateContent>
  <xr:revisionPtr revIDLastSave="0" documentId="13_ncr:1_{3F059E66-CF09-46A4-9238-037C9DE9D246}" xr6:coauthVersionLast="47" xr6:coauthVersionMax="47" xr10:uidLastSave="{00000000-0000-0000-0000-000000000000}"/>
  <bookViews>
    <workbookView xWindow="-108" yWindow="-108" windowWidth="23256" windowHeight="12456" xr2:uid="{C7496D64-A45F-4E86-92F0-A998B40BC7E7}"/>
  </bookViews>
  <sheets>
    <sheet name="APP" sheetId="1" r:id="rId1"/>
    <sheet name="Planilha1" sheetId="2" r:id="rId2"/>
  </sheets>
  <definedNames>
    <definedName name="_xlnm._FilterDatabase" localSheetId="0" hidden="1">APP!$B$32:$D$33</definedName>
    <definedName name="aporte">APP!$D$17</definedName>
    <definedName name="patrimonio">APP!$D$20</definedName>
    <definedName name="qtd_anos">APP!$D$18</definedName>
    <definedName name="rendimento_carteira">APP!$D$13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42" i="1" l="1"/>
  <c r="D20" i="1" l="1"/>
  <c r="D21" i="1" s="1"/>
  <c r="C28" i="1"/>
  <c r="D28" i="1" s="1"/>
  <c r="C27" i="1"/>
  <c r="D27" i="1" s="1"/>
  <c r="C26" i="1"/>
  <c r="D26" i="1" s="1"/>
  <c r="C25" i="1"/>
  <c r="D25" i="1" s="1"/>
  <c r="C24" i="1"/>
  <c r="D24" i="1" s="1"/>
  <c r="D14" i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<sst xmlns="http://schemas.openxmlformats.org/spreadsheetml/2006/main" count="71" uniqueCount="35">
  <si>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</si>
  <si>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</si>
  <si>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</si>
  <si>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</si>
  <si>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</si>
  <si>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</si>
  <si>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CONFIGURAÇÕES</t>
  </si>
  <si>
    <t>Salário</t>
  </si>
  <si>
    <t>Rendimento Carteira</t>
  </si>
  <si>
    <t>Sugestão de Investimento (30%)</t>
  </si>
  <si>
    <t>Quanto em 2 Anos ?</t>
  </si>
  <si>
    <t>Quanto em 5 Anos ?</t>
  </si>
  <si>
    <t>Quanto em 10 Anos ?</t>
  </si>
  <si>
    <t>Quanto em 20 Anos ?</t>
  </si>
  <si>
    <t>Quanto em 30 Anos ?</t>
  </si>
  <si>
    <t>DIVIDENDOS</t>
  </si>
  <si>
    <t>CENÁRIOS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</si>
  <si>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</si>
  <si>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</si>
  <si>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</si>
  <si>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</si>
  <si>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</si>
  <si>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</si>
  <si>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</si>
  <si>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</si>
  <si>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</si>
  <si>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</si>
  <si>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</si>
  <si>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</si>
  <si>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</si>
  <si>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</si>
  <si>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Agressivo</t>
  </si>
  <si>
    <t>MODERADO-TIJOLO</t>
  </si>
  <si>
    <t xml:space="preserve">valor total </t>
  </si>
  <si>
    <t>PORCENTAGEM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</si>
</sst>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color theme="2"/>
      <name val="Arial"/>
      <family val="2"/>
    </font>
    <font>
      <sz val="11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4" borderId="0" applyNumberFormat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6" borderId="0" xfId="0" applyFill="1"/>
    <xf numFmtId="0" fontId="6" fillId="7" borderId="11" xfId="0" applyFont="1" applyFill="1" applyBorder="1" applyAlignment="1">
      <alignment horizontal="right" vertical="center"/>
    </xf>
    <xf numFmtId="0" fontId="7" fillId="6" borderId="0" xfId="0" applyFont="1" applyFill="1"/>
    <xf numFmtId="164" fontId="4" fillId="9" borderId="0" xfId="1" applyNumberFormat="1" applyFont="1" applyFill="1" applyAlignment="1">
      <alignment horizontal="center"/>
    </xf>
    <xf numFmtId="0" fontId="2" fillId="10" borderId="0" xfId="3" applyFill="1"/>
    <xf numFmtId="0" fontId="3" fillId="10" borderId="0" xfId="3" applyFont="1" applyFill="1" applyAlignment="1">
      <alignment horizontal="center"/>
    </xf>
    <xf numFmtId="0" fontId="3" fillId="10" borderId="0" xfId="3" applyFont="1" applyFill="1"/>
    <xf numFmtId="0" fontId="0" fillId="6" borderId="4" xfId="0" applyFill="1" applyBorder="1" applyAlignment="1">
      <alignment horizontal="center"/>
    </xf>
    <xf numFmtId="9" fontId="0" fillId="6" borderId="0" xfId="0" applyNumberFormat="1" applyFill="1" applyAlignment="1">
      <alignment horizontal="center"/>
    </xf>
    <xf numFmtId="164" fontId="0" fillId="10" borderId="8" xfId="0" applyNumberFormat="1" applyFill="1" applyBorder="1" applyAlignment="1">
      <alignment horizontal="center"/>
    </xf>
    <xf numFmtId="0" fontId="3" fillId="11" borderId="0" xfId="0" applyFont="1" applyFill="1"/>
    <xf numFmtId="9" fontId="3" fillId="11" borderId="0" xfId="2" applyFont="1" applyFill="1"/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9" fontId="0" fillId="6" borderId="7" xfId="0" applyNumberFormat="1" applyFill="1" applyBorder="1" applyAlignment="1">
      <alignment horizontal="center"/>
    </xf>
    <xf numFmtId="0" fontId="3" fillId="11" borderId="13" xfId="0" applyFont="1" applyFill="1" applyBorder="1"/>
    <xf numFmtId="0" fontId="3" fillId="11" borderId="13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9" fontId="0" fillId="11" borderId="0" xfId="0" applyNumberFormat="1" applyFill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9" fillId="6" borderId="4" xfId="0" applyFont="1" applyFill="1" applyBorder="1"/>
    <xf numFmtId="8" fontId="9" fillId="6" borderId="0" xfId="0" applyNumberFormat="1" applyFont="1" applyFill="1" applyAlignment="1">
      <alignment horizontal="right" vertical="center"/>
    </xf>
    <xf numFmtId="8" fontId="9" fillId="6" borderId="5" xfId="0" applyNumberFormat="1" applyFont="1" applyFill="1" applyBorder="1"/>
    <xf numFmtId="0" fontId="9" fillId="6" borderId="6" xfId="0" applyFont="1" applyFill="1" applyBorder="1"/>
    <xf numFmtId="8" fontId="9" fillId="6" borderId="7" xfId="0" applyNumberFormat="1" applyFont="1" applyFill="1" applyBorder="1" applyAlignment="1">
      <alignment horizontal="right" vertical="center"/>
    </xf>
    <xf numFmtId="8" fontId="9" fillId="6" borderId="8" xfId="0" applyNumberFormat="1" applyFont="1" applyFill="1" applyBorder="1"/>
    <xf numFmtId="0" fontId="9" fillId="8" borderId="4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8" fontId="9" fillId="8" borderId="5" xfId="0" applyNumberFormat="1" applyFont="1" applyFill="1" applyBorder="1" applyAlignment="1">
      <alignment horizontal="right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164" fontId="9" fillId="8" borderId="8" xfId="0" applyNumberFormat="1" applyFont="1" applyFill="1" applyBorder="1" applyAlignment="1">
      <alignment horizontal="right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44" fontId="9" fillId="6" borderId="14" xfId="1" applyFont="1" applyFill="1" applyBorder="1" applyAlignment="1">
      <alignment horizontal="right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right" vertical="center"/>
    </xf>
    <xf numFmtId="10" fontId="9" fillId="6" borderId="5" xfId="0" applyNumberFormat="1" applyFont="1" applyFill="1" applyBorder="1" applyAlignment="1">
      <alignment horizontal="right" vertical="center"/>
    </xf>
    <xf numFmtId="0" fontId="9" fillId="6" borderId="15" xfId="0" applyFont="1" applyFill="1" applyBorder="1" applyAlignment="1">
      <alignment horizontal="left" indent="3"/>
    </xf>
    <xf numFmtId="0" fontId="9" fillId="6" borderId="16" xfId="0" applyFont="1" applyFill="1" applyBorder="1" applyAlignment="1">
      <alignment horizontal="left" indent="3"/>
    </xf>
    <xf numFmtId="164" fontId="9" fillId="6" borderId="17" xfId="1" applyNumberFormat="1" applyFont="1" applyFill="1" applyBorder="1" applyAlignment="1">
      <alignment horizontal="center"/>
    </xf>
    <xf numFmtId="0" fontId="9" fillId="6" borderId="18" xfId="0" applyFont="1" applyFill="1" applyBorder="1" applyAlignment="1">
      <alignment horizontal="left" indent="3"/>
    </xf>
    <xf numFmtId="0" fontId="9" fillId="6" borderId="19" xfId="0" applyFont="1" applyFill="1" applyBorder="1" applyAlignment="1">
      <alignment horizontal="left" indent="3"/>
    </xf>
    <xf numFmtId="9" fontId="9" fillId="6" borderId="20" xfId="0" applyNumberFormat="1" applyFont="1" applyFill="1" applyBorder="1" applyAlignment="1">
      <alignment horizontal="center"/>
    </xf>
    <xf numFmtId="0" fontId="9" fillId="8" borderId="21" xfId="0" applyFont="1" applyFill="1" applyBorder="1" applyAlignment="1">
      <alignment horizontal="left" indent="3"/>
    </xf>
    <xf numFmtId="0" fontId="9" fillId="8" borderId="22" xfId="0" applyFont="1" applyFill="1" applyBorder="1" applyAlignment="1">
      <alignment horizontal="left" indent="3"/>
    </xf>
    <xf numFmtId="164" fontId="9" fillId="8" borderId="23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effectLst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C33F-4DAA-AF9E-BF4889035F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4-C33F-4DAA-AF9E-BF4889035F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C33F-4DAA-AF9E-BF4889035F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6-C33F-4DAA-AF9E-BF4889035F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C33F-4DAA-AF9E-BF4889035F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C33F-4DAA-AF9E-BF4889035F4B}"/>
              </c:ext>
            </c:extLst>
          </c:dPt>
          <c:dLbls>
            <c:dLbl>
              <c:idx val="4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3F-4DAA-AF9E-BF4889035F4B}"/>
                </c:ext>
              </c:extLst>
            </c:dLbl>
            <c:dLbl>
              <c:idx val="5"/>
              <c:layout>
                <c:manualLayout>
                  <c:x val="8.4295337298901415E-2"/>
                  <c:y val="1.8524839246860908E-2"/>
                </c:manualLayout>
              </c:layout>
              <c:spPr>
                <a:noFill/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60000" spcFirstLastPara="1" vertOverflow="overflow" horzOverflow="overflow" vert="horz" wrap="square" lIns="38100" tIns="19050" rIns="38100" bIns="19050" anchor="t" anchorCtr="1">
                  <a:spAutoFit/>
                </a:bodyPr>
                <a:lstStyle/>
                <a:p>
                  <a:pPr>
                    <a:defRPr sz="900" b="0" i="0" u="none" strike="noStrike" kern="1200" cap="none" spc="0" baseline="0">
                      <a:ln w="0"/>
                      <a:solidFill>
                        <a:schemeClr val="accent1"/>
                      </a:solidFill>
                      <a:effectLst>
                        <a:outerShdw blurRad="38100" dist="25400" dir="5400000" algn="ctr" rotWithShape="0">
                          <a:srgbClr val="6E747A">
                            <a:alpha val="43000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9559"/>
                        <a:gd name="adj2" fmla="val 23888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C33F-4DAA-AF9E-BF4889035F4B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60000" spcFirstLastPara="1" vertOverflow="overflow" horzOverflow="overflow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F-4DAA-AF9E-BF4889035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344787</xdr:colOff>
      <xdr:row>0</xdr:row>
      <xdr:rowOff>94407</xdr:rowOff>
    </xdr:from>
    <xdr:to>
      <xdr:col>3</xdr:col>
      <xdr:colOff>2449295</xdr:colOff>
      <xdr:row>8</xdr:row>
      <xdr:rowOff>148354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14DD07-7CA8-42D5-9776-DB1159E08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44787" y="94407"/>
          <a:ext cx="5745924" cy="1510513"/>
        </a:xfrm>
        <a:prstGeom prst="rect">
          <a:avLst/>
        </a:prstGeom>
        <a:solidFill>
          <a:schemeClr val="accent5">
            <a:lumMod val="50000"/>
          </a:schemeClr>
        </a:solidFill>
      </xdr:spPr>
    </xdr:pic>
    <xdr:clientData/>
  </xdr:twoCellAnchor>
  <xdr:twoCellAnchor>
    <xdr:from>
      <xdr:col>0</xdr:col>
      <xdr:colOff>330424</xdr:colOff>
      <xdr:row>42</xdr:row>
      <xdr:rowOff>53947</xdr:rowOff>
    </xdr:from>
    <xdr:to>
      <xdr:col>3</xdr:col>
      <xdr:colOff>2414123</xdr:colOff>
      <xdr:row>53</xdr:row>
      <xdr:rowOff>107893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91F065-1617-5391-2C1E-54D1773F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AC33-4CD3-40FD-89B5-36D845FBCF00}">
  <sheetPr>
    <tabColor theme="2" tint="-0.249977111117893"/>
  </sheetPr>
  <dimension ref="A10:Q42"/>
  <sheetViews>
    <sheetView showGridLines="0" tabSelected="1" topLeftCell="A32" zoomScale="113" workbookViewId="0">
      <selection activeCell="C56" sqref="C56"/>
    </sheetView>
  </sheetViews>
  <sheetFormatPr defaultRowHeight="14.4" x14ac:dyDescent="0.3"/>
  <cols>
    <col min="1" max="1" width="5.77734375" style="2" customWidth="1"/>
    <col min="2" max="2" width="22.77734375" style="2" customWidth="1"/>
    <col min="3" max="3" width="24.44140625" style="2" customWidth="1"/>
    <col min="4" max="4" width="36" style="2" customWidth="1"/>
    <col min="5" max="17" width="8.88671875" style="1"/>
  </cols>
  <sheetData>
    <row r="10" spans="2:4" ht="15" thickBot="1" x14ac:dyDescent="0.35"/>
    <row r="11" spans="2:4" ht="21" x14ac:dyDescent="0.4">
      <c r="B11" s="28" t="s">
        <v>6</v>
      </c>
      <c r="C11" s="29"/>
      <c r="D11" s="30"/>
    </row>
    <row r="12" spans="2:4" ht="15.6" x14ac:dyDescent="0.3">
      <c r="B12" s="55" t="s">
        <v>7</v>
      </c>
      <c r="C12" s="56"/>
      <c r="D12" s="57">
        <v>500</v>
      </c>
    </row>
    <row r="13" spans="2:4" ht="15.6" x14ac:dyDescent="0.3">
      <c r="B13" s="58" t="s">
        <v>8</v>
      </c>
      <c r="C13" s="59"/>
      <c r="D13" s="60">
        <v>0.01</v>
      </c>
    </row>
    <row r="14" spans="2:4" ht="16.2" thickBot="1" x14ac:dyDescent="0.35">
      <c r="B14" s="61" t="s">
        <v>9</v>
      </c>
      <c r="C14" s="62"/>
      <c r="D14" s="63">
        <f>D12*30%</f>
        <v>150</v>
      </c>
    </row>
    <row r="15" spans="2:4" ht="15" thickBot="1" x14ac:dyDescent="0.35"/>
    <row r="16" spans="2:4" ht="21" x14ac:dyDescent="0.3">
      <c r="B16" s="31" t="s">
        <v>0</v>
      </c>
      <c r="C16" s="32"/>
      <c r="D16" s="33"/>
    </row>
    <row r="17" spans="1:4" ht="15.6" x14ac:dyDescent="0.3">
      <c r="B17" s="48" t="s">
        <v>1</v>
      </c>
      <c r="C17" s="49"/>
      <c r="D17" s="50">
        <v>800</v>
      </c>
    </row>
    <row r="18" spans="1:4" ht="15.6" x14ac:dyDescent="0.3">
      <c r="B18" s="51" t="s">
        <v>2</v>
      </c>
      <c r="C18" s="52"/>
      <c r="D18" s="53">
        <v>5</v>
      </c>
    </row>
    <row r="19" spans="1:4" ht="15.6" x14ac:dyDescent="0.3">
      <c r="B19" s="51" t="s">
        <v>3</v>
      </c>
      <c r="C19" s="52"/>
      <c r="D19" s="54">
        <v>1.0800000000000001E-2</v>
      </c>
    </row>
    <row r="20" spans="1:4" ht="15.6" x14ac:dyDescent="0.3">
      <c r="B20" s="42" t="s">
        <v>4</v>
      </c>
      <c r="C20" s="43"/>
      <c r="D20" s="44">
        <f>FV(taxa_mensal,+qtd_anos*12,aporte)*-1</f>
        <v>67043.215487406749</v>
      </c>
    </row>
    <row r="21" spans="1:4" ht="16.2" thickBot="1" x14ac:dyDescent="0.35">
      <c r="B21" s="45" t="s">
        <v>5</v>
      </c>
      <c r="C21" s="46"/>
      <c r="D21" s="47">
        <f>patrimonio*taxa_mensal</f>
        <v>724.0667272639929</v>
      </c>
    </row>
    <row r="22" spans="1:4" ht="15" thickBot="1" x14ac:dyDescent="0.35"/>
    <row r="23" spans="1:4" ht="21" x14ac:dyDescent="0.3">
      <c r="B23" s="31" t="s">
        <v>16</v>
      </c>
      <c r="C23" s="32"/>
      <c r="D23" s="3" t="s">
        <v>15</v>
      </c>
    </row>
    <row r="24" spans="1:4" ht="15.6" x14ac:dyDescent="0.3">
      <c r="A24" s="4">
        <v>2</v>
      </c>
      <c r="B24" s="36" t="s">
        <v>10</v>
      </c>
      <c r="C24" s="37">
        <f>FV($D$19,$A24*12,$D$17)*-1</f>
        <v>21784.690928465272</v>
      </c>
      <c r="D24" s="38">
        <f>C24*taxa_mensal</f>
        <v>235.27466202742494</v>
      </c>
    </row>
    <row r="25" spans="1:4" ht="15.6" x14ac:dyDescent="0.3">
      <c r="A25" s="4">
        <v>5</v>
      </c>
      <c r="B25" s="36" t="s">
        <v>11</v>
      </c>
      <c r="C25" s="37">
        <f>FV($D$19,$A25*12,$D$17)*-1</f>
        <v>67043.215487406749</v>
      </c>
      <c r="D25" s="38">
        <f>C25*taxa_mensal</f>
        <v>724.0667272639929</v>
      </c>
    </row>
    <row r="26" spans="1:4" ht="15.6" x14ac:dyDescent="0.3">
      <c r="A26" s="4">
        <v>10</v>
      </c>
      <c r="B26" s="36" t="s">
        <v>12</v>
      </c>
      <c r="C26" s="37">
        <f>FV($D$19,$A26*12,$D$17)*-1</f>
        <v>194766.13300384008</v>
      </c>
      <c r="D26" s="38">
        <f>C26*taxa_mensal</f>
        <v>2103.4742364414728</v>
      </c>
    </row>
    <row r="27" spans="1:4" ht="15.6" x14ac:dyDescent="0.3">
      <c r="A27" s="4">
        <v>20</v>
      </c>
      <c r="B27" s="36" t="s">
        <v>13</v>
      </c>
      <c r="C27" s="37">
        <f>FV($D$19,$A27*12,$D$17)*-1</f>
        <v>901639.19463881862</v>
      </c>
      <c r="D27" s="38">
        <f>C27*taxa_mensal</f>
        <v>9737.7033020992421</v>
      </c>
    </row>
    <row r="28" spans="1:4" ht="16.2" thickBot="1" x14ac:dyDescent="0.35">
      <c r="A28" s="4">
        <v>30</v>
      </c>
      <c r="B28" s="39" t="s">
        <v>14</v>
      </c>
      <c r="C28" s="40">
        <f>FV($D$19,$A28*12,$D$17)*-1</f>
        <v>3467123.848253401</v>
      </c>
      <c r="D28" s="41">
        <f>C28*taxa_mensal</f>
        <v>37444.937561136736</v>
      </c>
    </row>
    <row r="32" spans="1:4" x14ac:dyDescent="0.3">
      <c r="B32" s="8" t="s">
        <v>17</v>
      </c>
      <c r="C32" s="7" t="s">
        <v>31</v>
      </c>
      <c r="D32" s="6"/>
    </row>
    <row r="33" spans="2:4" x14ac:dyDescent="0.3">
      <c r="B33" s="27" t="s">
        <v>19</v>
      </c>
      <c r="C33" s="27"/>
      <c r="D33" s="5">
        <v>800</v>
      </c>
    </row>
    <row r="34" spans="2:4" ht="15" thickBot="1" x14ac:dyDescent="0.35">
      <c r="B34"/>
      <c r="C34"/>
      <c r="D34"/>
    </row>
    <row r="35" spans="2:4" ht="15.6" x14ac:dyDescent="0.3">
      <c r="B35" s="24" t="s">
        <v>20</v>
      </c>
      <c r="C35" s="25" t="s">
        <v>21</v>
      </c>
      <c r="D35" s="26" t="s">
        <v>22</v>
      </c>
    </row>
    <row r="36" spans="2:4" x14ac:dyDescent="0.3">
      <c r="B36" s="9" t="s">
        <v>23</v>
      </c>
      <c r="C36" s="10">
        <f>VLOOKUP($C$32&amp;"-"&amp;B36,Planilha1!$A:$D,4,FALSE)</f>
        <v>0.5</v>
      </c>
      <c r="D36" s="23">
        <f t="shared" ref="D36:D41" si="0">C36*$D$33</f>
        <v>400</v>
      </c>
    </row>
    <row r="37" spans="2:4" x14ac:dyDescent="0.3">
      <c r="B37" s="9" t="s">
        <v>24</v>
      </c>
      <c r="C37" s="10">
        <f>VLOOKUP($C$32&amp;"-"&amp;B37,Planilha1!$A:$D,4,FALSE)</f>
        <v>0.1</v>
      </c>
      <c r="D37" s="23">
        <f t="shared" si="0"/>
        <v>80</v>
      </c>
    </row>
    <row r="38" spans="2:4" x14ac:dyDescent="0.3">
      <c r="B38" s="9" t="s">
        <v>25</v>
      </c>
      <c r="C38" s="10">
        <f>VLOOKUP($C$32&amp;"-"&amp;B38,Planilha1!$A:$D,4,FALSE)</f>
        <v>0.05</v>
      </c>
      <c r="D38" s="23">
        <f t="shared" si="0"/>
        <v>40</v>
      </c>
    </row>
    <row r="39" spans="2:4" x14ac:dyDescent="0.3">
      <c r="B39" s="9" t="s">
        <v>26</v>
      </c>
      <c r="C39" s="10">
        <f>VLOOKUP($C$32&amp;"-"&amp;B39,Planilha1!$A:$D,4,FALSE)</f>
        <v>0.05</v>
      </c>
      <c r="D39" s="23">
        <f t="shared" si="0"/>
        <v>40</v>
      </c>
    </row>
    <row r="40" spans="2:4" x14ac:dyDescent="0.3">
      <c r="B40" s="9" t="s">
        <v>27</v>
      </c>
      <c r="C40" s="10">
        <f>VLOOKUP($C$32&amp;"-"&amp;B40,Planilha1!$A:$D,4,FALSE)</f>
        <v>0.2</v>
      </c>
      <c r="D40" s="23">
        <f t="shared" si="0"/>
        <v>160</v>
      </c>
    </row>
    <row r="41" spans="2:4" x14ac:dyDescent="0.3">
      <c r="B41" s="9" t="s">
        <v>28</v>
      </c>
      <c r="C41" s="10">
        <f>VLOOKUP($C$32&amp;"-"&amp;B41,Planilha1!$A:$D,4,FALSE)</f>
        <v>0.1</v>
      </c>
      <c r="D41" s="23">
        <f t="shared" si="0"/>
        <v>80</v>
      </c>
    </row>
    <row r="42" spans="2:4" ht="15" thickBot="1" x14ac:dyDescent="0.35">
      <c r="B42" s="34" t="s">
        <v>33</v>
      </c>
      <c r="C42" s="35"/>
      <c r="D42" s="11">
        <f>SUM(D36:D41)</f>
        <v>800</v>
      </c>
    </row>
  </sheetData>
  <mergeCells count="13">
    <mergeCell ref="B42:C42"/>
    <mergeCell ref="B33:C33"/>
    <mergeCell ref="B11:D11"/>
    <mergeCell ref="B12:C12"/>
    <mergeCell ref="B13:C13"/>
    <mergeCell ref="B14:C14"/>
    <mergeCell ref="B23:C23"/>
    <mergeCell ref="B19:C19"/>
    <mergeCell ref="B20:C20"/>
    <mergeCell ref="B21:C21"/>
    <mergeCell ref="B16:D16"/>
    <mergeCell ref="B17:C17"/>
    <mergeCell ref="B18:C18"/>
  </mergeCells>
  <dataValidations count="1">
    <dataValidation type="list" allowBlank="1" showInputMessage="1" showErrorMessage="1" sqref="C32" xr:uid="{C359BC65-E8BC-4B6C-B677-F2F2710DFB5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4EC1-3E7B-43CD-B51A-E1C5525799B1}">
  <dimension ref="A1:P19"/>
  <sheetViews>
    <sheetView workbookViewId="0">
      <selection activeCell="G5" sqref="G5"/>
    </sheetView>
  </sheetViews>
  <sheetFormatPr defaultRowHeight="14.4" x14ac:dyDescent="0.3"/>
  <cols>
    <col min="1" max="1" width="24.5546875" style="2" customWidth="1"/>
    <col min="2" max="2" width="16.88671875" style="2" customWidth="1"/>
    <col min="3" max="3" width="21.21875" style="2" customWidth="1"/>
    <col min="4" max="4" width="17.109375" style="2" customWidth="1"/>
    <col min="5" max="5" width="15.21875" style="2" customWidth="1"/>
    <col min="6" max="6" width="23.77734375" style="2" customWidth="1"/>
    <col min="7" max="16" width="8.88671875" style="2"/>
  </cols>
  <sheetData>
    <row r="1" spans="1:7" x14ac:dyDescent="0.3">
      <c r="A1" s="17" t="s">
        <v>30</v>
      </c>
      <c r="B1" s="17" t="s">
        <v>17</v>
      </c>
      <c r="C1" s="18" t="s">
        <v>20</v>
      </c>
      <c r="D1" s="18" t="s">
        <v>34</v>
      </c>
    </row>
    <row r="2" spans="1:7" x14ac:dyDescent="0.3">
      <c r="A2" s="2" t="str">
        <f>B2&amp;"-"&amp;C2</f>
        <v>Conservador-PAPEL</v>
      </c>
      <c r="B2" s="2" t="s">
        <v>29</v>
      </c>
      <c r="C2" s="19" t="s">
        <v>23</v>
      </c>
      <c r="D2" s="10">
        <v>0.3</v>
      </c>
    </row>
    <row r="3" spans="1:7" x14ac:dyDescent="0.3">
      <c r="A3" s="2" t="str">
        <f t="shared" ref="A3:A19" si="0">B3&amp;"-"&amp;C3</f>
        <v>Conservador-TIJOLO</v>
      </c>
      <c r="B3" s="2" t="s">
        <v>29</v>
      </c>
      <c r="C3" s="19" t="s">
        <v>24</v>
      </c>
      <c r="D3" s="10">
        <v>0.5</v>
      </c>
    </row>
    <row r="4" spans="1:7" x14ac:dyDescent="0.3">
      <c r="A4" s="2" t="str">
        <f t="shared" si="0"/>
        <v>Conservador-HÍBRIDOS</v>
      </c>
      <c r="B4" s="2" t="s">
        <v>29</v>
      </c>
      <c r="C4" s="19" t="s">
        <v>25</v>
      </c>
      <c r="D4" s="10">
        <v>0.1</v>
      </c>
      <c r="F4" s="12" t="s">
        <v>32</v>
      </c>
      <c r="G4" s="13">
        <f>VLOOKUP(F4,$A:$D,4,FALSE)</f>
        <v>0.35</v>
      </c>
    </row>
    <row r="5" spans="1:7" x14ac:dyDescent="0.3">
      <c r="A5" s="2" t="str">
        <f t="shared" si="0"/>
        <v>Conservador-FOFs</v>
      </c>
      <c r="B5" s="2" t="s">
        <v>29</v>
      </c>
      <c r="C5" s="19" t="s">
        <v>26</v>
      </c>
      <c r="D5" s="10">
        <v>0.1</v>
      </c>
    </row>
    <row r="6" spans="1:7" x14ac:dyDescent="0.3">
      <c r="A6" s="2" t="str">
        <f t="shared" si="0"/>
        <v>Conservador-DESENVOLVIMENTO</v>
      </c>
      <c r="B6" s="2" t="s">
        <v>29</v>
      </c>
      <c r="C6" s="19" t="s">
        <v>27</v>
      </c>
      <c r="D6" s="10">
        <v>0</v>
      </c>
    </row>
    <row r="7" spans="1:7" ht="15" thickBot="1" x14ac:dyDescent="0.35">
      <c r="A7" s="14" t="str">
        <f t="shared" si="0"/>
        <v>Conservador-HOTELARIAS</v>
      </c>
      <c r="B7" s="14" t="s">
        <v>29</v>
      </c>
      <c r="C7" s="15" t="s">
        <v>28</v>
      </c>
      <c r="D7" s="16">
        <v>0</v>
      </c>
    </row>
    <row r="8" spans="1:7" x14ac:dyDescent="0.3">
      <c r="A8" s="2" t="str">
        <f t="shared" si="0"/>
        <v>Moderado-PAPEL</v>
      </c>
      <c r="B8" s="2" t="s">
        <v>18</v>
      </c>
      <c r="C8" s="19" t="s">
        <v>23</v>
      </c>
      <c r="D8" s="10">
        <v>0.32</v>
      </c>
    </row>
    <row r="9" spans="1:7" x14ac:dyDescent="0.3">
      <c r="A9" s="20" t="str">
        <f t="shared" si="0"/>
        <v>Moderado-TIJOLO</v>
      </c>
      <c r="B9" s="20" t="s">
        <v>18</v>
      </c>
      <c r="C9" s="21" t="s">
        <v>24</v>
      </c>
      <c r="D9" s="22">
        <v>0.35</v>
      </c>
    </row>
    <row r="10" spans="1:7" x14ac:dyDescent="0.3">
      <c r="A10" s="2" t="str">
        <f t="shared" si="0"/>
        <v>Moderado-HÍBRIDOS</v>
      </c>
      <c r="B10" s="2" t="s">
        <v>18</v>
      </c>
      <c r="C10" s="19" t="s">
        <v>25</v>
      </c>
      <c r="D10" s="10">
        <v>0.08</v>
      </c>
    </row>
    <row r="11" spans="1:7" x14ac:dyDescent="0.3">
      <c r="A11" s="2" t="str">
        <f t="shared" si="0"/>
        <v>Moderado-FOFs</v>
      </c>
      <c r="B11" s="2" t="s">
        <v>18</v>
      </c>
      <c r="C11" s="19" t="s">
        <v>26</v>
      </c>
      <c r="D11" s="10">
        <v>0.05</v>
      </c>
    </row>
    <row r="12" spans="1:7" x14ac:dyDescent="0.3">
      <c r="A12" s="2" t="str">
        <f t="shared" si="0"/>
        <v>Moderado-DESENVOLVIMENTO</v>
      </c>
      <c r="B12" s="2" t="s">
        <v>18</v>
      </c>
      <c r="C12" s="19" t="s">
        <v>27</v>
      </c>
      <c r="D12" s="10">
        <v>0.1</v>
      </c>
    </row>
    <row r="13" spans="1:7" ht="15" thickBot="1" x14ac:dyDescent="0.35">
      <c r="A13" s="14" t="str">
        <f t="shared" si="0"/>
        <v>Moderado-HOTELARIAS</v>
      </c>
      <c r="B13" s="14" t="s">
        <v>18</v>
      </c>
      <c r="C13" s="15" t="s">
        <v>28</v>
      </c>
      <c r="D13" s="16">
        <v>0.1</v>
      </c>
    </row>
    <row r="14" spans="1:7" x14ac:dyDescent="0.3">
      <c r="A14" s="2" t="str">
        <f t="shared" si="0"/>
        <v>Agressivo-PAPEL</v>
      </c>
      <c r="B14" s="2" t="s">
        <v>31</v>
      </c>
      <c r="C14" s="19" t="s">
        <v>23</v>
      </c>
      <c r="D14" s="10">
        <v>0.5</v>
      </c>
    </row>
    <row r="15" spans="1:7" x14ac:dyDescent="0.3">
      <c r="A15" s="2" t="str">
        <f t="shared" si="0"/>
        <v>Agressivo-TIJOLO</v>
      </c>
      <c r="B15" s="2" t="s">
        <v>31</v>
      </c>
      <c r="C15" s="19" t="s">
        <v>24</v>
      </c>
      <c r="D15" s="10">
        <v>0.1</v>
      </c>
    </row>
    <row r="16" spans="1:7" x14ac:dyDescent="0.3">
      <c r="A16" s="2" t="str">
        <f t="shared" si="0"/>
        <v>Agressivo-HÍBRIDOS</v>
      </c>
      <c r="B16" s="2" t="s">
        <v>31</v>
      </c>
      <c r="C16" s="19" t="s">
        <v>25</v>
      </c>
      <c r="D16" s="10">
        <v>0.05</v>
      </c>
    </row>
    <row r="17" spans="1:4" x14ac:dyDescent="0.3">
      <c r="A17" s="2" t="str">
        <f t="shared" si="0"/>
        <v>Agressivo-FOFs</v>
      </c>
      <c r="B17" s="2" t="s">
        <v>31</v>
      </c>
      <c r="C17" s="19" t="s">
        <v>26</v>
      </c>
      <c r="D17" s="10">
        <v>0.05</v>
      </c>
    </row>
    <row r="18" spans="1:4" x14ac:dyDescent="0.3">
      <c r="A18" s="2" t="str">
        <f t="shared" si="0"/>
        <v>Agressivo-DESENVOLVIMENTO</v>
      </c>
      <c r="B18" s="2" t="s">
        <v>31</v>
      </c>
      <c r="C18" s="19" t="s">
        <v>27</v>
      </c>
      <c r="D18" s="10">
        <v>0.2</v>
      </c>
    </row>
    <row r="19" spans="1:4" ht="15" thickBot="1" x14ac:dyDescent="0.35">
      <c r="A19" s="14" t="str">
        <f t="shared" si="0"/>
        <v>Agressivo-HOTELARIAS</v>
      </c>
      <c r="B19" s="14" t="s">
        <v>31</v>
      </c>
      <c r="C19" s="15" t="s">
        <v>28</v>
      </c>
      <c r="D19" s="1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APP</vt:lpstr>
      <vt:lpstr>Planilha1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Samyrle</dc:creator>
  <cp:lastModifiedBy>Samyrle</cp:lastModifiedBy>
  <dcterms:created xsi:type="dcterms:W3CDTF">2026-01-14T13:20:56Z</dcterms:created>
  <dcterms:modified xsi:type="dcterms:W3CDTF">2026-01-16T02:40:55Z</dcterms:modified>
</cp:coreProperties>
</file>